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dor" sheetId="1" state="visible" r:id="rId1"/>
    <sheet name="Apoio" sheetId="2" state="visible" r:id="rId2"/>
  </sheets>
  <definedNames>
    <definedName name="salario">Simulador!$B$6</definedName>
    <definedName name="sugestao_aporte">Simulador!$B$7</definedName>
    <definedName name="aporte">Simulador!$B$8</definedName>
    <definedName name="prazo_anos">Simulador!$B$9</definedName>
    <definedName name="taxa_mensal">Simulador!$B$10</definedName>
    <definedName name="rendimento_carteira">Simulador!$B$10</definedName>
    <definedName name="perfil">Simulador!$B$11</definedName>
    <definedName name="patrimonio">Simulador!$F$9</definedName>
    <definedName name="dividendos_mensais">Simulador!$F$10</definedName>
    <definedName name="percentual_sugestao">Apoio!$I$4</definedName>
    <definedName name="lista_perfis">Apoio!$F$4:$F$7</definedName>
    <definedName name="tabela_alocacao">Apoio!$A$4:$D$27</definedName>
    <definedName name="_xlnm.Print_Area" localSheetId="0">'Simulador'!$A$1:$L$34</definedName>
    <definedName name="_xlnm._FilterDatabase" localSheetId="1" hidden="1">'Apoio'!$A$3:$D$27</definedName>
    <definedName name="_xlnm.Print_Area" localSheetId="1">'Apoio'!$A$1:$J$32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&quot; anos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6"/>
    </font>
    <font>
      <name val="Calibri"/>
      <b val="1"/>
      <color rgb="00FFFFFF"/>
      <sz val="20"/>
    </font>
    <font>
      <name val="Calibri"/>
      <color rgb="00E8F6F3"/>
      <sz val="12"/>
    </font>
    <font>
      <name val="Calibri"/>
      <color rgb="00E8F6F3"/>
      <sz val="11"/>
    </font>
    <font>
      <name val="Calibri"/>
      <b val="1"/>
      <color rgb="00FFFFFF"/>
      <sz val="11"/>
    </font>
    <font>
      <name val="Calibri"/>
      <b val="1"/>
      <color rgb="002C3E50"/>
      <sz val="13"/>
    </font>
    <font>
      <name val="Calibri"/>
      <color rgb="001C2833"/>
      <sz val="12"/>
    </font>
    <font>
      <name val="Calibri"/>
      <b val="1"/>
      <color rgb="001C2833"/>
      <sz val="13"/>
    </font>
    <font>
      <name val="Calibri"/>
      <color rgb="005D6D7E"/>
      <sz val="10"/>
    </font>
    <font>
      <name val="Calibri"/>
      <color rgb="00FFFFFF"/>
      <sz val="11"/>
    </font>
    <font>
      <name val="Calibri"/>
      <b val="1"/>
      <color rgb="00FFFFFF"/>
      <sz val="13"/>
    </font>
    <font>
      <name val="Calibri"/>
      <b val="1"/>
      <color rgb="000A4F49"/>
      <sz val="16"/>
    </font>
    <font>
      <name val="Calibri"/>
      <color rgb="001C2833"/>
      <sz val="11"/>
    </font>
    <font>
      <name val="Calibri"/>
      <color rgb="002C3E50"/>
      <sz val="10"/>
    </font>
  </fonts>
  <fills count="11">
    <fill>
      <patternFill/>
    </fill>
    <fill>
      <patternFill patternType="gray125"/>
    </fill>
    <fill>
      <patternFill patternType="solid">
        <fgColor rgb="000B3A4A"/>
      </patternFill>
    </fill>
    <fill>
      <patternFill patternType="solid">
        <fgColor rgb="000A4F49"/>
      </patternFill>
    </fill>
    <fill>
      <patternFill patternType="solid">
        <fgColor rgb="00E6E6E6"/>
      </patternFill>
    </fill>
    <fill>
      <patternFill patternType="solid">
        <fgColor rgb="00FFFFFF"/>
      </patternFill>
    </fill>
    <fill>
      <patternFill patternType="solid">
        <fgColor rgb="00FFF3C4"/>
      </patternFill>
    </fill>
    <fill>
      <patternFill patternType="solid">
        <fgColor rgb="00FBF6EA"/>
      </patternFill>
    </fill>
    <fill>
      <patternFill patternType="solid">
        <fgColor rgb="000E6B62"/>
      </patternFill>
    </fill>
    <fill>
      <patternFill patternType="solid">
        <fgColor rgb="00F4F7F7"/>
      </patternFill>
    </fill>
    <fill>
      <patternFill patternType="solid">
        <fgColor rgb="00E8F6F3"/>
      </patternFill>
    </fill>
  </fills>
  <borders count="5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0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11" fillId="8" borderId="0" applyAlignment="1" pivotButton="0" quotePrefix="0" xfId="0">
      <alignment horizontal="left" vertical="center" indent="1"/>
    </xf>
    <xf numFmtId="0" fontId="7" fillId="9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6" fillId="4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top" wrapText="1"/>
    </xf>
    <xf numFmtId="0" fontId="0" fillId="7" borderId="0" applyAlignment="1" pivotButton="0" quotePrefix="0" xfId="0">
      <alignment horizontal="left" vertical="top" wrapText="1"/>
    </xf>
    <xf numFmtId="165" fontId="6" fillId="4" borderId="1" applyAlignment="1" pivotButton="0" quotePrefix="0" xfId="0">
      <alignment horizontal="center" vertical="center" wrapText="1"/>
    </xf>
    <xf numFmtId="10" fontId="6" fillId="4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164" fontId="12" fillId="10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0" fontId="5" fillId="3" borderId="1" applyAlignment="1" pivotButton="0" quotePrefix="0" xfId="0">
      <alignment horizontal="left" vertical="center" wrapText="1"/>
    </xf>
    <xf numFmtId="165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10" fontId="1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left" vertical="top" wrapText="1"/>
    </xf>
    <xf numFmtId="0" fontId="0" fillId="9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4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Divisão do aporte</a:t>
            </a:r>
          </a:p>
        </rich>
      </tx>
    </title>
    <plotArea>
      <pieChart>
        <varyColors val="1"/>
        <ser>
          <idx val="0"/>
          <order val="0"/>
          <tx>
            <strRef>
              <f>'Simulador'!C22</f>
            </strRef>
          </tx>
          <spPr>
            <a:ln>
              <a:prstDash val="solid"/>
            </a:ln>
          </spPr>
          <cat>
            <numRef>
              <f>'Simulador'!$A$23:$A$28</f>
            </numRef>
          </cat>
          <val>
            <numRef>
              <f>'Simulador'!$C$23:$C$28</f>
            </numRef>
          </val>
        </ser>
        <dLbls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Simulador</author>
  </authors>
  <commentList>
    <comment ref="F9" authorId="0" shapeId="0">
      <text>
        <t>VF (FV em inglês) estima o patrimônio no fim do prazo.
taxa = taxa_mensal (juros de cada mês).
nper = prazo_anos × 12 (quantidade de aportes).
pgto = -aporte. O sinal negativo é o dinheiro que sai do bolso.
vp fica de fora: a conta começa do zero.
tipo fica de fora: 0, aporte no fim de cada mês.
Com pgto negativo, o VF volta positivo.</t>
      </text>
    </comment>
    <comment ref="B10" authorId="0" shapeId="0">
      <text>
        <t>Taxa mensal, não anual. 0,80% ao mês é só um número redondo para o exercício. Na aba Apoio este mesmo conceito se chama taxa_mensal.</t>
      </text>
    </comment>
    <comment ref="F10" authorId="0" shapeId="0">
      <text>
        <t>Dividendo do mês = patrimônio acumulado × taxa mensal. É o rendimento de um mês sobre o saldo do fim do prazo, sem novo aporte.</t>
      </text>
    </comment>
    <comment ref="B11" authorId="0" shapeId="0">
      <text>
        <t>Abra a lista e troque o perfil. A tabela de baixo e o gráfico mudam juntos. A lista vem do intervalo nomeado lista_perfis, na aba Apoio.</t>
      </text>
    </comment>
    <comment ref="A16" authorId="0" shapeId="0">
      <text>
        <t>A fórmula é a mesma do patrimônio principal. taxa_mensal e aporte são intervalos nomeados: não andam quando a fórmula é arrastada para o lado. Só o prazo (a célula de cima) muda de coluna.</t>
      </text>
    </comment>
    <comment ref="B23" authorId="0" shapeId="0">
      <text>
        <t>PROCV procura a chave da coluna D dentro de tabela_alocacao.
Devolve a 4ª coluna (o percentual).
FALSO = correspondência exata. Sem isso, o Excel aceitaria um valor parecido.</t>
      </text>
    </comment>
  </commentList>
</comments>
</file>

<file path=xl/comments/comment2.xml><?xml version="1.0" encoding="utf-8"?>
<comments xmlns="http://schemas.openxmlformats.org/spreadsheetml/2006/main">
  <authors>
    <author>Simulador</author>
  </authors>
  <commentList>
    <comment ref="I4" authorId="0" shapeId="0">
      <text>
        <t>30% é a regra didática do exercício: sugestão de aporte = salário × este percentual. Mude só se quiser testar outra regra. Não é conselho financeiro.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0E6B62"/>
    <outlinePr summaryBelow="1" summaryRight="1"/>
    <pageSetUpPr fitToPage="1"/>
  </sheetPr>
  <dimension ref="A1:L33"/>
  <sheetViews>
    <sheetView showGridLines="0" view="normal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2" customWidth="1" min="3" max="3"/>
    <col width="42" customWidth="1" min="4" max="4"/>
    <col width="18" customWidth="1" min="5" max="5"/>
    <col width="22" customWidth="1" min="6" max="6"/>
    <col width="3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 ht="40" customHeight="1">
      <c r="A1" s="1" t="inlineStr">
        <is>
          <t>SIMULADOR DE FUNDOS IMOBILIÁRIOS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>Quanto aportar, por quanto tempo, e o que isso vira em patrimônio e dividendos.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0" customHeight="1">
      <c r="A3" s="4" t="inlineStr">
        <is>
          <t>Amarelo: você edita.    Cinza: a planilha calcula.    Exemplo didático — não é recomendação de investimento.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 ht="10" customHeight="1"/>
    <row r="5" ht="24" customHeight="1">
      <c r="A5" s="6" t="inlineStr">
        <is>
          <t>1. O QUE VOCÊ DEFINE</t>
        </is>
      </c>
      <c r="B5" s="6" t="n"/>
      <c r="D5" s="6" t="inlineStr">
        <is>
          <t>2. AS CINCO RESPOSTAS</t>
        </is>
      </c>
      <c r="E5" s="6" t="n"/>
      <c r="F5" s="6" t="n"/>
      <c r="H5" s="6" t="inlineStr">
        <is>
          <t>COMO A CONTA FUNCIONA</t>
        </is>
      </c>
      <c r="I5" s="6" t="n"/>
      <c r="J5" s="6" t="n"/>
      <c r="K5" s="6" t="n"/>
      <c r="L5" s="6" t="n"/>
    </row>
    <row r="6" ht="24" customHeight="1">
      <c r="A6" s="7" t="inlineStr">
        <is>
          <t>Salário mensal (exemplo)</t>
        </is>
      </c>
      <c r="B6" s="8" t="n">
        <v>6000</v>
      </c>
      <c r="D6" s="7" t="inlineStr">
        <is>
          <t>1. Quanto investir por mês</t>
        </is>
      </c>
      <c r="E6" s="9" t="n"/>
      <c r="F6" s="10">
        <f>aporte</f>
        <v/>
      </c>
      <c r="H6" s="11" t="inlineStr">
        <is>
          <t>Patrimônio (resposta 4) usa a função VF.
Os três argumentos usados aqui:
• taxa — rendimento de um mês (taxa_mensal);
• nper — meses, ou seja, anos × 12;
• pgto — aporte com sinal negativo.
Dividendo (resposta 5) = patrimônio × taxa mensal.
A divisão por fundo usa PROCV com chave composta: perfil &amp; "|" &amp; tipo. Exemplo: Moderado|Logística. A aba Apoio tem essa chave na 1ª coluna e o percentual na 4ª. O 4º argumento é FALSO: a busca é exata.</t>
        </is>
      </c>
      <c r="I6" s="12" t="n"/>
      <c r="J6" s="12" t="n"/>
      <c r="K6" s="12" t="n"/>
      <c r="L6" s="12" t="n"/>
    </row>
    <row r="7" ht="24" customHeight="1">
      <c r="A7" s="7" t="inlineStr">
        <is>
          <t>Sugestão de aporte (30% do salário)</t>
        </is>
      </c>
      <c r="B7" s="10">
        <f>salario*percentual_sugestao</f>
        <v/>
      </c>
      <c r="D7" s="7" t="inlineStr">
        <is>
          <t>2. Por quantos anos</t>
        </is>
      </c>
      <c r="E7" s="9" t="n"/>
      <c r="F7" s="13">
        <f>prazo_anos</f>
        <v/>
      </c>
      <c r="H7" s="12" t="n"/>
      <c r="I7" s="12" t="n"/>
      <c r="J7" s="12" t="n"/>
      <c r="K7" s="12" t="n"/>
      <c r="L7" s="12" t="n"/>
    </row>
    <row r="8" ht="24" customHeight="1">
      <c r="A8" s="7" t="inlineStr">
        <is>
          <t>Quanto investir por mês</t>
        </is>
      </c>
      <c r="B8" s="8" t="n">
        <v>1500</v>
      </c>
      <c r="D8" s="7" t="inlineStr">
        <is>
          <t>3. Taxa de rendimento mensal</t>
        </is>
      </c>
      <c r="E8" s="9" t="n"/>
      <c r="F8" s="14">
        <f>taxa_mensal</f>
        <v/>
      </c>
      <c r="H8" s="12" t="n"/>
      <c r="I8" s="12" t="n"/>
      <c r="J8" s="12" t="n"/>
      <c r="K8" s="12" t="n"/>
      <c r="L8" s="12" t="n"/>
    </row>
    <row r="9" ht="24" customHeight="1">
      <c r="A9" s="7" t="inlineStr">
        <is>
          <t>Por quantos anos</t>
        </is>
      </c>
      <c r="B9" s="15" t="n">
        <v>10</v>
      </c>
      <c r="D9" s="7" t="inlineStr">
        <is>
          <t>4. Patrimônio acumulado</t>
        </is>
      </c>
      <c r="E9" s="9" t="n"/>
      <c r="F9" s="16">
        <f>FV(taxa_mensal,prazo_anos*12,-aporte)</f>
        <v/>
      </c>
      <c r="H9" s="12" t="n"/>
      <c r="I9" s="12" t="n"/>
      <c r="J9" s="12" t="n"/>
      <c r="K9" s="12" t="n"/>
      <c r="L9" s="12" t="n"/>
    </row>
    <row r="10" ht="24" customHeight="1">
      <c r="A10" s="7" t="inlineStr">
        <is>
          <t>Rendimento mensal da carteira</t>
        </is>
      </c>
      <c r="B10" s="17" t="n">
        <v>0.008</v>
      </c>
      <c r="D10" s="7" t="inlineStr">
        <is>
          <t>5. Dividendos por mês</t>
        </is>
      </c>
      <c r="E10" s="9" t="n"/>
      <c r="F10" s="16">
        <f>patrimonio*taxa_mensal</f>
        <v/>
      </c>
      <c r="H10" s="12" t="n"/>
      <c r="I10" s="12" t="n"/>
      <c r="J10" s="12" t="n"/>
      <c r="K10" s="12" t="n"/>
      <c r="L10" s="12" t="n"/>
    </row>
    <row r="11" ht="24" customHeight="1">
      <c r="A11" s="7" t="inlineStr">
        <is>
          <t>Perfil do investidor</t>
        </is>
      </c>
      <c r="B11" s="18" t="inlineStr">
        <is>
          <t>Moderado</t>
        </is>
      </c>
      <c r="D11" s="7" t="inlineStr">
        <is>
          <t>Total aportado no prazo</t>
        </is>
      </c>
      <c r="E11" s="9" t="n"/>
      <c r="F11" s="10">
        <f>aporte*prazo_anos*12</f>
        <v/>
      </c>
      <c r="H11" s="12" t="n"/>
      <c r="I11" s="12" t="n"/>
      <c r="J11" s="12" t="n"/>
      <c r="K11" s="12" t="n"/>
      <c r="L11" s="12" t="n"/>
    </row>
    <row r="12" ht="24" customHeight="1">
      <c r="A12" s="19" t="inlineStr">
        <is>
          <t>Edite só o amarelo. O cinza se recalcula.</t>
        </is>
      </c>
      <c r="B12" s="20" t="n"/>
      <c r="D12" s="7" t="inlineStr">
        <is>
          <t>Ganho acima do total aportado</t>
        </is>
      </c>
      <c r="E12" s="9" t="n"/>
      <c r="F12" s="10">
        <f>patrimonio-F11</f>
        <v/>
      </c>
      <c r="H12" s="12" t="n"/>
      <c r="I12" s="12" t="n"/>
      <c r="J12" s="12" t="n"/>
      <c r="K12" s="12" t="n"/>
      <c r="L12" s="12" t="n"/>
    </row>
    <row r="13" ht="10" customHeight="1"/>
    <row r="14" ht="24" customHeight="1">
      <c r="A14" s="6" t="inlineStr">
        <is>
          <t>3. CENÁRIOS — O MESMO APORTE EM OUTROS PRAZOS</t>
        </is>
      </c>
      <c r="B14" s="6" t="n"/>
      <c r="C14" s="6" t="n"/>
      <c r="D14" s="6" t="n"/>
      <c r="E14" s="6" t="n"/>
      <c r="F14" s="6" t="n"/>
    </row>
    <row r="15" ht="22" customHeight="1">
      <c r="A15" s="21" t="inlineStr">
        <is>
          <t>Prazo</t>
        </is>
      </c>
      <c r="B15" s="22" t="n">
        <v>2</v>
      </c>
      <c r="C15" s="22" t="n">
        <v>5</v>
      </c>
      <c r="D15" s="22" t="n">
        <v>10</v>
      </c>
      <c r="E15" s="22" t="n">
        <v>20</v>
      </c>
      <c r="F15" s="22" t="n">
        <v>30</v>
      </c>
    </row>
    <row r="16" ht="24" customHeight="1">
      <c r="A16" s="7" t="inlineStr">
        <is>
          <t>Patrimônio com o aporte informado</t>
        </is>
      </c>
      <c r="B16" s="10">
        <f>FV(taxa_mensal,B15*12,-aporte)</f>
        <v/>
      </c>
      <c r="C16" s="10">
        <f>FV(taxa_mensal,C15*12,-aporte)</f>
        <v/>
      </c>
      <c r="D16" s="10">
        <f>FV(taxa_mensal,D15*12,-aporte)</f>
        <v/>
      </c>
      <c r="E16" s="10">
        <f>FV(taxa_mensal,E15*12,-aporte)</f>
        <v/>
      </c>
      <c r="F16" s="10">
        <f>FV(taxa_mensal,F15*12,-aporte)</f>
        <v/>
      </c>
    </row>
    <row r="17" ht="24" customHeight="1">
      <c r="A17" s="7" t="inlineStr">
        <is>
          <t>Dividendos por mês nesse patrimônio</t>
        </is>
      </c>
      <c r="B17" s="10">
        <f>B16*taxa_mensal</f>
        <v/>
      </c>
      <c r="C17" s="10">
        <f>C16*taxa_mensal</f>
        <v/>
      </c>
      <c r="D17" s="10">
        <f>D16*taxa_mensal</f>
        <v/>
      </c>
      <c r="E17" s="10">
        <f>E16*taxa_mensal</f>
        <v/>
      </c>
      <c r="F17" s="10">
        <f>F16*taxa_mensal</f>
        <v/>
      </c>
    </row>
    <row r="18" ht="24" customHeight="1">
      <c r="A18" s="7" t="inlineStr">
        <is>
          <t>Patrimônio se aportar 30% do salário</t>
        </is>
      </c>
      <c r="B18" s="10">
        <f>FV(taxa_mensal,B15*12,-sugestao_aporte)</f>
        <v/>
      </c>
      <c r="C18" s="10">
        <f>FV(taxa_mensal,C15*12,-sugestao_aporte)</f>
        <v/>
      </c>
      <c r="D18" s="10">
        <f>FV(taxa_mensal,D15*12,-sugestao_aporte)</f>
        <v/>
      </c>
      <c r="E18" s="10">
        <f>FV(taxa_mensal,E15*12,-sugestao_aporte)</f>
        <v/>
      </c>
      <c r="F18" s="10">
        <f>FV(taxa_mensal,F15*12,-sugestao_aporte)</f>
        <v/>
      </c>
    </row>
    <row r="19" ht="24" customHeight="1">
      <c r="A19" s="7" t="inlineStr">
        <is>
          <t>Dividendos por mês nessa 2ª simulação</t>
        </is>
      </c>
      <c r="B19" s="10">
        <f>B18*taxa_mensal</f>
        <v/>
      </c>
      <c r="C19" s="10">
        <f>C18*taxa_mensal</f>
        <v/>
      </c>
      <c r="D19" s="10">
        <f>D18*taxa_mensal</f>
        <v/>
      </c>
      <c r="E19" s="10">
        <f>E18*taxa_mensal</f>
        <v/>
      </c>
      <c r="F19" s="10">
        <f>F18*taxa_mensal</f>
        <v/>
      </c>
    </row>
    <row r="20" ht="10" customHeight="1"/>
    <row r="21" ht="24" customHeight="1">
      <c r="A21" s="6" t="inlineStr">
        <is>
          <t>4. DIVISÃO DO APORTE PELO PERFIL</t>
        </is>
      </c>
      <c r="B21" s="6" t="n"/>
      <c r="C21" s="6" t="n"/>
      <c r="D21" s="6" t="n"/>
    </row>
    <row r="22" ht="22" customHeight="1">
      <c r="A22" s="23" t="inlineStr">
        <is>
          <t>Tipo de fundo</t>
        </is>
      </c>
      <c r="B22" s="23" t="inlineStr">
        <is>
          <t>Percentual</t>
        </is>
      </c>
      <c r="C22" s="23" t="inlineStr">
        <is>
          <t>Valor do aporte</t>
        </is>
      </c>
      <c r="D22" s="23" t="inlineStr">
        <is>
          <t>Chave perfil|tipo</t>
        </is>
      </c>
    </row>
    <row r="23" ht="22" customHeight="1">
      <c r="A23" s="7" t="inlineStr">
        <is>
          <t>Papel (recebíveis)</t>
        </is>
      </c>
      <c r="B23" s="14">
        <f>IFERROR(VLOOKUP(D23,tabela_alocacao,4,FALSE),0)</f>
        <v/>
      </c>
      <c r="C23" s="10">
        <f>B23*aporte</f>
        <v/>
      </c>
      <c r="D23" s="24">
        <f>perfil&amp;"|"&amp;A23</f>
        <v/>
      </c>
    </row>
    <row r="24" ht="22" customHeight="1">
      <c r="A24" s="7" t="inlineStr">
        <is>
          <t>Logística</t>
        </is>
      </c>
      <c r="B24" s="14">
        <f>IFERROR(VLOOKUP(D24,tabela_alocacao,4,FALSE),0)</f>
        <v/>
      </c>
      <c r="C24" s="10">
        <f>B24*aporte</f>
        <v/>
      </c>
      <c r="D24" s="24">
        <f>perfil&amp;"|"&amp;A24</f>
        <v/>
      </c>
    </row>
    <row r="25" ht="22" customHeight="1">
      <c r="A25" s="7" t="inlineStr">
        <is>
          <t>Shoppings</t>
        </is>
      </c>
      <c r="B25" s="14">
        <f>IFERROR(VLOOKUP(D25,tabela_alocacao,4,FALSE),0)</f>
        <v/>
      </c>
      <c r="C25" s="10">
        <f>B25*aporte</f>
        <v/>
      </c>
      <c r="D25" s="24">
        <f>perfil&amp;"|"&amp;A25</f>
        <v/>
      </c>
    </row>
    <row r="26" ht="22" customHeight="1">
      <c r="A26" s="7" t="inlineStr">
        <is>
          <t>Lajes corporativas</t>
        </is>
      </c>
      <c r="B26" s="14">
        <f>IFERROR(VLOOKUP(D26,tabela_alocacao,4,FALSE),0)</f>
        <v/>
      </c>
      <c r="C26" s="10">
        <f>B26*aporte</f>
        <v/>
      </c>
      <c r="D26" s="24">
        <f>perfil&amp;"|"&amp;A26</f>
        <v/>
      </c>
    </row>
    <row r="27" ht="22" customHeight="1">
      <c r="A27" s="7" t="inlineStr">
        <is>
          <t>Híbrido</t>
        </is>
      </c>
      <c r="B27" s="14">
        <f>IFERROR(VLOOKUP(D27,tabela_alocacao,4,FALSE),0)</f>
        <v/>
      </c>
      <c r="C27" s="10">
        <f>B27*aporte</f>
        <v/>
      </c>
      <c r="D27" s="24">
        <f>perfil&amp;"|"&amp;A27</f>
        <v/>
      </c>
    </row>
    <row r="28" ht="22" customHeight="1">
      <c r="A28" s="7" t="inlineStr">
        <is>
          <t>Fundo de fundos</t>
        </is>
      </c>
      <c r="B28" s="14">
        <f>IFERROR(VLOOKUP(D28,tabela_alocacao,4,FALSE),0)</f>
        <v/>
      </c>
      <c r="C28" s="10">
        <f>B28*aporte</f>
        <v/>
      </c>
      <c r="D28" s="24">
        <f>perfil&amp;"|"&amp;A28</f>
        <v/>
      </c>
    </row>
    <row r="29" ht="24" customHeight="1">
      <c r="A29" s="7" t="inlineStr">
        <is>
          <t>Soma do perfil (tem de ser 100%)</t>
        </is>
      </c>
      <c r="B29" s="25">
        <f>SUM(B23:B28)</f>
        <v/>
      </c>
      <c r="C29" s="10">
        <f>SUM(C23:C28)</f>
        <v/>
      </c>
      <c r="D29" s="26">
        <f>IF(ABS(B29-1)&lt;0.0000001,"OK — soma 100%","Revise: não soma 100%")</f>
        <v/>
      </c>
    </row>
    <row r="31" ht="18" customHeight="1">
      <c r="A31" s="27" t="inlineStr">
        <is>
          <t>Segunda simulação: as linhas 18 e 19 dos cenários trocam o aporte informado pela sugestão de 30% do salário (sugestao_aporte). O prazo e a taxa continuam os mesmos. Os percentuais de cada perfil estão na aba Apoio e são um exemplo do exercício, não uma carteira recomendada. Salário, aporte e taxa desta tela também são números de exemplo.</t>
        </is>
      </c>
      <c r="B31" s="28" t="n"/>
      <c r="C31" s="28" t="n"/>
      <c r="D31" s="28" t="n"/>
    </row>
    <row r="32" ht="18" customHeight="1">
      <c r="A32" s="28" t="n"/>
      <c r="B32" s="28" t="n"/>
      <c r="C32" s="28" t="n"/>
      <c r="D32" s="28" t="n"/>
    </row>
    <row r="33" ht="18" customHeight="1">
      <c r="A33" s="28" t="n"/>
      <c r="B33" s="28" t="n"/>
      <c r="C33" s="28" t="n"/>
      <c r="D33" s="28" t="n"/>
    </row>
    <row r="34" ht="8" customHeight="1"/>
  </sheetData>
  <mergeCells count="18">
    <mergeCell ref="D8:E8"/>
    <mergeCell ref="D6:E6"/>
    <mergeCell ref="A2:L2"/>
    <mergeCell ref="D7:E7"/>
    <mergeCell ref="D5:F5"/>
    <mergeCell ref="D10:E10"/>
    <mergeCell ref="A14:F14"/>
    <mergeCell ref="D11:E11"/>
    <mergeCell ref="H6:L12"/>
    <mergeCell ref="A1:L1"/>
    <mergeCell ref="A21:D21"/>
    <mergeCell ref="A5:B5"/>
    <mergeCell ref="H5:L5"/>
    <mergeCell ref="A3:L3"/>
    <mergeCell ref="D9:E9"/>
    <mergeCell ref="A31:D33"/>
    <mergeCell ref="D12:E12"/>
    <mergeCell ref="A12:B12"/>
  </mergeCells>
  <conditionalFormatting sqref="B29">
    <cfRule type="expression" priority="1" dxfId="0">
      <formula>ABS(B29-1)&lt;0.000001</formula>
    </cfRule>
  </conditionalFormatting>
  <conditionalFormatting sqref="D29">
    <cfRule type="expression" priority="2" dxfId="0">
      <formula>B29=1</formula>
    </cfRule>
  </conditionalFormatting>
  <dataValidations count="1">
    <dataValidation sqref="B11" showDropDown="0" showInputMessage="1" showErrorMessage="1" allowBlank="0" errorTitle="Perfil" error="Escolha um perfil da lista." promptTitle="Perfil do investidor" prompt="Conservador, Moderado, Arrojado ou Foco em renda." type="list">
      <formula1>=lista_perfis</formula1>
    </dataValidation>
  </dataValidations>
  <pageMargins left="0.4" right="0.4" top="0.5" bottom="0.4" header="0.5" footer="0.5"/>
  <pageSetup orientation="landscape" paperSize="9" fitToHeight="1" fitToWidth="1"/>
  <headerFooter>
    <oddHeader/>
    <oddFooter>&amp;LSimulador de fundos imobiliários  |  exercício didático&amp;RPágina 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C8922A"/>
    <outlinePr summaryBelow="1" summaryRight="1"/>
    <pageSetUpPr fitToPage="1"/>
  </sheetPr>
  <dimension ref="A1:I33"/>
  <sheetViews>
    <sheetView showGridLines="0"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14" customWidth="1" min="4" max="4"/>
    <col width="3" customWidth="1" min="5" max="5"/>
    <col width="20" customWidth="1" min="6" max="6"/>
    <col width="16" customWidth="1" min="7" max="7"/>
    <col width="3" customWidth="1" min="8" max="8"/>
    <col width="28" customWidth="1" min="9" max="9"/>
  </cols>
  <sheetData>
    <row r="1" ht="32" customHeight="1">
      <c r="A1" s="29" t="inlineStr">
        <is>
          <t>TABELA DE APOIO</t>
        </is>
      </c>
      <c r="B1" s="2" t="n"/>
      <c r="C1" s="2" t="n"/>
      <c r="D1" s="2" t="n"/>
    </row>
    <row r="2" ht="36" customHeight="1">
      <c r="A2" s="30" t="inlineStr">
        <is>
          <t>A chave junta o perfil e o tipo de fundo. O PROCV da aba Simulador procura essa chave e devolve o percentual.</t>
        </is>
      </c>
      <c r="B2" s="2" t="n"/>
      <c r="C2" s="2" t="n"/>
      <c r="D2" s="2" t="n"/>
    </row>
    <row r="3" ht="22" customHeight="1">
      <c r="A3" s="23" t="inlineStr">
        <is>
          <t>Chave</t>
        </is>
      </c>
      <c r="B3" s="23" t="inlineStr">
        <is>
          <t>Perfil</t>
        </is>
      </c>
      <c r="C3" s="23" t="inlineStr">
        <is>
          <t>Tipo de fundo</t>
        </is>
      </c>
      <c r="D3" s="23" t="inlineStr">
        <is>
          <t>Percentual</t>
        </is>
      </c>
      <c r="F3" s="23" t="inlineStr">
        <is>
          <t>Perfis da lista</t>
        </is>
      </c>
      <c r="G3" s="23" t="inlineStr">
        <is>
          <t>Soma do perfil</t>
        </is>
      </c>
      <c r="I3" s="23" t="inlineStr">
        <is>
          <t>Sugestão sobre o salário</t>
        </is>
      </c>
    </row>
    <row r="4" ht="20" customHeight="1">
      <c r="A4" s="31">
        <f>B4&amp;"|"&amp;C4</f>
        <v/>
      </c>
      <c r="B4" s="32" t="inlineStr">
        <is>
          <t>Conservador</t>
        </is>
      </c>
      <c r="C4" s="32" t="inlineStr">
        <is>
          <t>Papel (recebíveis)</t>
        </is>
      </c>
      <c r="D4" s="17" t="n">
        <v>0.45</v>
      </c>
      <c r="F4" s="32" t="inlineStr">
        <is>
          <t>Conservador</t>
        </is>
      </c>
      <c r="G4" s="14">
        <f>SUMIF($B$4:$B$27,F4,$D$4:$D$27)</f>
        <v/>
      </c>
      <c r="I4" s="17" t="n">
        <v>0.3</v>
      </c>
    </row>
    <row r="5" ht="20" customHeight="1">
      <c r="A5" s="31">
        <f>B5&amp;"|"&amp;C5</f>
        <v/>
      </c>
      <c r="B5" s="32" t="inlineStr">
        <is>
          <t>Conservador</t>
        </is>
      </c>
      <c r="C5" s="32" t="inlineStr">
        <is>
          <t>Logística</t>
        </is>
      </c>
      <c r="D5" s="17" t="n">
        <v>0.2</v>
      </c>
      <c r="F5" s="32" t="inlineStr">
        <is>
          <t>Moderado</t>
        </is>
      </c>
      <c r="G5" s="14">
        <f>SUMIF($B$4:$B$27,F5,$D$4:$D$27)</f>
        <v/>
      </c>
    </row>
    <row r="6" ht="20" customHeight="1">
      <c r="A6" s="31">
        <f>B6&amp;"|"&amp;C6</f>
        <v/>
      </c>
      <c r="B6" s="32" t="inlineStr">
        <is>
          <t>Conservador</t>
        </is>
      </c>
      <c r="C6" s="32" t="inlineStr">
        <is>
          <t>Shoppings</t>
        </is>
      </c>
      <c r="D6" s="17" t="n">
        <v>0.1</v>
      </c>
      <c r="F6" s="32" t="inlineStr">
        <is>
          <t>Arrojado</t>
        </is>
      </c>
      <c r="G6" s="14">
        <f>SUMIF($B$4:$B$27,F6,$D$4:$D$27)</f>
        <v/>
      </c>
    </row>
    <row r="7" ht="20" customHeight="1">
      <c r="A7" s="31">
        <f>B7&amp;"|"&amp;C7</f>
        <v/>
      </c>
      <c r="B7" s="32" t="inlineStr">
        <is>
          <t>Conservador</t>
        </is>
      </c>
      <c r="C7" s="32" t="inlineStr">
        <is>
          <t>Lajes corporativas</t>
        </is>
      </c>
      <c r="D7" s="17" t="n">
        <v>0.1</v>
      </c>
      <c r="F7" s="32" t="inlineStr">
        <is>
          <t>Foco em renda</t>
        </is>
      </c>
      <c r="G7" s="14">
        <f>SUMIF($B$4:$B$27,F7,$D$4:$D$27)</f>
        <v/>
      </c>
    </row>
    <row r="8" ht="20" customHeight="1">
      <c r="A8" s="31">
        <f>B8&amp;"|"&amp;C8</f>
        <v/>
      </c>
      <c r="B8" s="32" t="inlineStr">
        <is>
          <t>Conservador</t>
        </is>
      </c>
      <c r="C8" s="32" t="inlineStr">
        <is>
          <t>Híbrido</t>
        </is>
      </c>
      <c r="D8" s="17" t="n">
        <v>0.1</v>
      </c>
    </row>
    <row r="9" ht="20" customHeight="1">
      <c r="A9" s="31">
        <f>B9&amp;"|"&amp;C9</f>
        <v/>
      </c>
      <c r="B9" s="32" t="inlineStr">
        <is>
          <t>Conservador</t>
        </is>
      </c>
      <c r="C9" s="32" t="inlineStr">
        <is>
          <t>Fundo de fundos</t>
        </is>
      </c>
      <c r="D9" s="17" t="n">
        <v>0.05</v>
      </c>
    </row>
    <row r="10" ht="20" customHeight="1">
      <c r="A10" s="31">
        <f>B10&amp;"|"&amp;C10</f>
        <v/>
      </c>
      <c r="B10" s="32" t="inlineStr">
        <is>
          <t>Moderado</t>
        </is>
      </c>
      <c r="C10" s="32" t="inlineStr">
        <is>
          <t>Papel (recebíveis)</t>
        </is>
      </c>
      <c r="D10" s="17" t="n">
        <v>0.25</v>
      </c>
    </row>
    <row r="11" ht="20" customHeight="1">
      <c r="A11" s="31">
        <f>B11&amp;"|"&amp;C11</f>
        <v/>
      </c>
      <c r="B11" s="32" t="inlineStr">
        <is>
          <t>Moderado</t>
        </is>
      </c>
      <c r="C11" s="32" t="inlineStr">
        <is>
          <t>Logística</t>
        </is>
      </c>
      <c r="D11" s="17" t="n">
        <v>0.2</v>
      </c>
    </row>
    <row r="12" ht="20" customHeight="1">
      <c r="A12" s="31">
        <f>B12&amp;"|"&amp;C12</f>
        <v/>
      </c>
      <c r="B12" s="32" t="inlineStr">
        <is>
          <t>Moderado</t>
        </is>
      </c>
      <c r="C12" s="32" t="inlineStr">
        <is>
          <t>Shoppings</t>
        </is>
      </c>
      <c r="D12" s="17" t="n">
        <v>0.15</v>
      </c>
    </row>
    <row r="13" ht="20" customHeight="1">
      <c r="A13" s="31">
        <f>B13&amp;"|"&amp;C13</f>
        <v/>
      </c>
      <c r="B13" s="32" t="inlineStr">
        <is>
          <t>Moderado</t>
        </is>
      </c>
      <c r="C13" s="32" t="inlineStr">
        <is>
          <t>Lajes corporativas</t>
        </is>
      </c>
      <c r="D13" s="17" t="n">
        <v>0.15</v>
      </c>
    </row>
    <row r="14" ht="20" customHeight="1">
      <c r="A14" s="31">
        <f>B14&amp;"|"&amp;C14</f>
        <v/>
      </c>
      <c r="B14" s="32" t="inlineStr">
        <is>
          <t>Moderado</t>
        </is>
      </c>
      <c r="C14" s="32" t="inlineStr">
        <is>
          <t>Híbrido</t>
        </is>
      </c>
      <c r="D14" s="17" t="n">
        <v>0.15</v>
      </c>
    </row>
    <row r="15" ht="20" customHeight="1">
      <c r="A15" s="31">
        <f>B15&amp;"|"&amp;C15</f>
        <v/>
      </c>
      <c r="B15" s="32" t="inlineStr">
        <is>
          <t>Moderado</t>
        </is>
      </c>
      <c r="C15" s="32" t="inlineStr">
        <is>
          <t>Fundo de fundos</t>
        </is>
      </c>
      <c r="D15" s="17" t="n">
        <v>0.1</v>
      </c>
    </row>
    <row r="16" ht="20" customHeight="1">
      <c r="A16" s="31">
        <f>B16&amp;"|"&amp;C16</f>
        <v/>
      </c>
      <c r="B16" s="32" t="inlineStr">
        <is>
          <t>Arrojado</t>
        </is>
      </c>
      <c r="C16" s="32" t="inlineStr">
        <is>
          <t>Papel (recebíveis)</t>
        </is>
      </c>
      <c r="D16" s="17" t="n">
        <v>0.1</v>
      </c>
    </row>
    <row r="17" ht="20" customHeight="1">
      <c r="A17" s="31">
        <f>B17&amp;"|"&amp;C17</f>
        <v/>
      </c>
      <c r="B17" s="32" t="inlineStr">
        <is>
          <t>Arrojado</t>
        </is>
      </c>
      <c r="C17" s="32" t="inlineStr">
        <is>
          <t>Logística</t>
        </is>
      </c>
      <c r="D17" s="17" t="n">
        <v>0.2</v>
      </c>
    </row>
    <row r="18" ht="20" customHeight="1">
      <c r="A18" s="31">
        <f>B18&amp;"|"&amp;C18</f>
        <v/>
      </c>
      <c r="B18" s="32" t="inlineStr">
        <is>
          <t>Arrojado</t>
        </is>
      </c>
      <c r="C18" s="32" t="inlineStr">
        <is>
          <t>Shoppings</t>
        </is>
      </c>
      <c r="D18" s="17" t="n">
        <v>0.2</v>
      </c>
    </row>
    <row r="19" ht="20" customHeight="1">
      <c r="A19" s="31">
        <f>B19&amp;"|"&amp;C19</f>
        <v/>
      </c>
      <c r="B19" s="32" t="inlineStr">
        <is>
          <t>Arrojado</t>
        </is>
      </c>
      <c r="C19" s="32" t="inlineStr">
        <is>
          <t>Lajes corporativas</t>
        </is>
      </c>
      <c r="D19" s="17" t="n">
        <v>0.2</v>
      </c>
    </row>
    <row r="20" ht="20" customHeight="1">
      <c r="A20" s="31">
        <f>B20&amp;"|"&amp;C20</f>
        <v/>
      </c>
      <c r="B20" s="32" t="inlineStr">
        <is>
          <t>Arrojado</t>
        </is>
      </c>
      <c r="C20" s="32" t="inlineStr">
        <is>
          <t>Híbrido</t>
        </is>
      </c>
      <c r="D20" s="17" t="n">
        <v>0.2</v>
      </c>
    </row>
    <row r="21" ht="20" customHeight="1">
      <c r="A21" s="31">
        <f>B21&amp;"|"&amp;C21</f>
        <v/>
      </c>
      <c r="B21" s="32" t="inlineStr">
        <is>
          <t>Arrojado</t>
        </is>
      </c>
      <c r="C21" s="32" t="inlineStr">
        <is>
          <t>Fundo de fundos</t>
        </is>
      </c>
      <c r="D21" s="17" t="n">
        <v>0.1</v>
      </c>
    </row>
    <row r="22" ht="20" customHeight="1">
      <c r="A22" s="31">
        <f>B22&amp;"|"&amp;C22</f>
        <v/>
      </c>
      <c r="B22" s="32" t="inlineStr">
        <is>
          <t>Foco em renda</t>
        </is>
      </c>
      <c r="C22" s="32" t="inlineStr">
        <is>
          <t>Papel (recebíveis)</t>
        </is>
      </c>
      <c r="D22" s="17" t="n">
        <v>0.4</v>
      </c>
    </row>
    <row r="23" ht="20" customHeight="1">
      <c r="A23" s="31">
        <f>B23&amp;"|"&amp;C23</f>
        <v/>
      </c>
      <c r="B23" s="32" t="inlineStr">
        <is>
          <t>Foco em renda</t>
        </is>
      </c>
      <c r="C23" s="32" t="inlineStr">
        <is>
          <t>Logística</t>
        </is>
      </c>
      <c r="D23" s="17" t="n">
        <v>0.2</v>
      </c>
    </row>
    <row r="24" ht="20" customHeight="1">
      <c r="A24" s="31">
        <f>B24&amp;"|"&amp;C24</f>
        <v/>
      </c>
      <c r="B24" s="32" t="inlineStr">
        <is>
          <t>Foco em renda</t>
        </is>
      </c>
      <c r="C24" s="32" t="inlineStr">
        <is>
          <t>Shoppings</t>
        </is>
      </c>
      <c r="D24" s="17" t="n">
        <v>0.1</v>
      </c>
    </row>
    <row r="25" ht="20" customHeight="1">
      <c r="A25" s="31">
        <f>B25&amp;"|"&amp;C25</f>
        <v/>
      </c>
      <c r="B25" s="32" t="inlineStr">
        <is>
          <t>Foco em renda</t>
        </is>
      </c>
      <c r="C25" s="32" t="inlineStr">
        <is>
          <t>Lajes corporativas</t>
        </is>
      </c>
      <c r="D25" s="17" t="n">
        <v>0.1</v>
      </c>
    </row>
    <row r="26" ht="20" customHeight="1">
      <c r="A26" s="31">
        <f>B26&amp;"|"&amp;C26</f>
        <v/>
      </c>
      <c r="B26" s="32" t="inlineStr">
        <is>
          <t>Foco em renda</t>
        </is>
      </c>
      <c r="C26" s="32" t="inlineStr">
        <is>
          <t>Híbrido</t>
        </is>
      </c>
      <c r="D26" s="17" t="n">
        <v>0.15</v>
      </c>
    </row>
    <row r="27" ht="20" customHeight="1">
      <c r="A27" s="31">
        <f>B27&amp;"|"&amp;C27</f>
        <v/>
      </c>
      <c r="B27" s="32" t="inlineStr">
        <is>
          <t>Foco em renda</t>
        </is>
      </c>
      <c r="C27" s="32" t="inlineStr">
        <is>
          <t>Fundo de fundos</t>
        </is>
      </c>
      <c r="D27" s="17" t="n">
        <v>0.05</v>
      </c>
    </row>
    <row r="30" ht="30" customHeight="1">
      <c r="A30" s="33" t="inlineStr">
        <is>
          <t>De onde vêm os percentuais: são um exemplo criado para este exercício, para a divisão mudar quando o perfil muda. Conservador concentra em papel (recebíveis). Arrojado abre espaço para shoppings, lajes e híbrido. Foco em renda fica perto do conservador, com um pouco mais de híbrido. Cada linha de perfil soma 100%. Isso não é recomendação de investimento.
Por que a chave existe: o mesmo tipo (Logística, por exemplo) aparece em todos os perfis. Um PROCV só pelo tipo devolveria sempre a primeira logística da tabela. A chave Moderado|Logística aponta para uma linha só.</t>
        </is>
      </c>
      <c r="B30" s="12" t="n"/>
      <c r="C30" s="12" t="n"/>
      <c r="D30" s="12" t="n"/>
      <c r="E30" s="12" t="n"/>
      <c r="F30" s="12" t="n"/>
      <c r="G30" s="12" t="n"/>
    </row>
    <row r="31" ht="30" customHeight="1"/>
    <row r="32" ht="30" customHeight="1"/>
    <row r="33" ht="30" customHeight="1"/>
  </sheetData>
  <autoFilter ref="A3:D27"/>
  <mergeCells count="3">
    <mergeCell ref="A1:D1"/>
    <mergeCell ref="A30:G33"/>
    <mergeCell ref="A2:D2"/>
  </mergeCells>
  <conditionalFormatting sqref="G4:G7">
    <cfRule type="expression" priority="1" dxfId="0">
      <formula>ABS(G4-1)&lt;0.000001</formula>
    </cfRule>
  </conditionalFormatting>
  <pageMargins left="0.75" right="0.75" top="1" bottom="1" header="0.5" footer="0.5"/>
  <pageSetup orientation="landscape" fitToHeight="1" fitToWidth="1"/>
  <headerFooter>
    <oddHeader>&amp;LApoio — não é a tela do usuário</oddHeader>
    <oddFooter/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Simulador FIIs</dc:creator>
  <dc:title>Simulador de Fundos Imobiliários</dc:title>
  <dc:subject>Exercício: aporte, prazo, taxa, patrimônio, dividendos e perfil</dc:subject>
  <dcterms:created xsi:type="dcterms:W3CDTF">2026-10-25T13:45:51Z</dcterms:created>
  <dcterms:modified xsi:type="dcterms:W3CDTF">2026-10-25T13:45:52Z</dcterms:modified>
</cp:coreProperties>
</file>